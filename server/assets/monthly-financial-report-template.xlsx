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bfc378d66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结算" sheetId="1" r:id="R27fe2ac76c8f46a7"/>
    <x:sheet xmlns:r="http://schemas.openxmlformats.org/officeDocument/2006/relationships" name="手工项目明细" sheetId="2" r:id="R0fae2b175bce46dd"/>
    <x:sheet xmlns:r="http://schemas.openxmlformats.org/officeDocument/2006/relationships" name="自动来源明细" sheetId="3" r:id="R7edbb627df7044a9"/>
    <x:sheet xmlns:r="http://schemas.openxmlformats.org/officeDocument/2006/relationships" name="校验" sheetId="4" r:id="R4ea9ba8aa215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0;[Red]-¥#,##0.00;-"/>
    <x:numFmt numFmtId="201" formatCode="&quot;¥&quot;#,##0.00;[Red]-&quot;¥&quot;#,##0.00;&quot;–&quot;"/>
  </x:numFmts>
  <x:fonts count="14">
    <x:font>
      <x:sz val="11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4B5563"/>
      <x:name val="Carlito"/>
    </x:font>
    <x:font>
      <x:b/>
      <x:sz val="11"/>
      <x:color rgb="FFFFFFFF"/>
      <x:name val="Carlito"/>
    </x:font>
    <x:font>
      <x:b/>
      <x:sz val="12"/>
      <x:color rgb="FF20242A"/>
      <x:name val="Microsoft YaHei"/>
    </x:font>
    <x:font>
      <x:sz val="12"/>
      <x:color rgb="FF20242A"/>
      <x:name val="Microsoft YaHei"/>
    </x:font>
    <x:font>
      <x:b/>
      <x:sz val="24"/>
      <x:color rgb="FFFFFFFF"/>
      <x:name val="Microsoft YaHei"/>
    </x:font>
    <x:font>
      <x:sz val="15"/>
      <x:color rgb="FFEFFFFD"/>
      <x:name val="Microsoft YaHei"/>
    </x:font>
    <x:font>
      <x:b/>
      <x:sz val="14"/>
      <x:color rgb="FFFFFFFF"/>
      <x:name val="Microsoft YaHei"/>
    </x:font>
    <x:font>
      <x:b/>
      <x:sz val="16"/>
      <x:color rgb="FF20242A"/>
      <x:name val="Microsoft YaHei"/>
    </x:font>
    <x:font>
      <x:b/>
      <x:sz val="13"/>
      <x:color rgb="FF20242A"/>
      <x:name val="Microsoft YaHei"/>
    </x:font>
    <x:font>
      <x:sz val="12"/>
      <x:color rgb="FF20242A"/>
      <x:name val="Microsoft YaHei"/>
    </x:font>
    <x:font>
      <x:b/>
      <x:sz val="14"/>
      <x:color rgb="FF20242A"/>
      <x:name val="Microsoft YaHei"/>
    </x:font>
  </x:fonts>
  <x:fills count="1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73B2AA"/>
      </x:patternFill>
    </x:fill>
    <x:fill>
      <x:patternFill patternType="solid">
        <x:fgColor rgb="FFFFFFFF"/>
      </x:patternFill>
    </x:fill>
    <x:fill>
      <x:patternFill patternType="solid">
        <x:fgColor rgb="FFEDF7F5"/>
      </x:patternFill>
    </x:fill>
    <x:fill>
      <x:patternFill patternType="solid">
        <x:fgColor rgb="FF8AB695"/>
      </x:patternFill>
    </x:fill>
    <x:fill>
      <x:patternFill patternType="solid">
        <x:fgColor rgb="FFF0F7F1"/>
      </x:patternFill>
    </x:fill>
    <x:fill>
      <x:patternFill patternType="solid">
        <x:fgColor rgb="FFE59A89"/>
      </x:patternFill>
    </x:fill>
    <x:fill>
      <x:patternFill patternType="solid">
        <x:fgColor rgb="FFFDF1EE"/>
      </x:patternFill>
    </x:fill>
    <x:fill>
      <x:patternFill patternType="solid">
        <x:fgColor rgb="FFE6C86D"/>
      </x:patternFill>
    </x:fill>
    <x:fill>
      <x:patternFill patternType="solid">
        <x:fgColor rgb="FFFFF9E8"/>
      </x:patternFill>
    </x:fill>
    <x:fill>
      <x:patternFill patternType="solid">
        <x:fgColor rgb="FF7CAECB"/>
      </x:patternFill>
    </x:fill>
    <x:fill>
      <x:patternFill patternType="solid">
        <x:fgColor rgb="FFEFF6FA"/>
      </x:patternFill>
    </x:fill>
  </x:fills>
  <x:borders count="19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73B2AA"/>
      </x:left>
      <x:right style="thin">
        <x:color rgb="FF000000"/>
      </x:right>
      <x:top style="medium">
        <x:color rgb="FF73B2AA"/>
      </x:top>
      <x:bottom style="medium">
        <x:color rgb="FF73B2AA"/>
      </x:bottom>
    </x:border>
    <x:border>
      <x:left style="thin">
        <x:color rgb="FF000000"/>
      </x:left>
      <x:right style="thin">
        <x:color rgb="FF000000"/>
      </x:right>
      <x:top style="medium">
        <x:color rgb="FF73B2AA"/>
      </x:top>
      <x:bottom style="medium">
        <x:color rgb="FF73B2AA"/>
      </x:bottom>
    </x:border>
    <x:border>
      <x:left style="thin">
        <x:color rgb="FF000000"/>
      </x:left>
      <x:right style="thin">
        <x:color rgb="FF73B2AA"/>
      </x:right>
      <x:top style="medium">
        <x:color rgb="FF73B2AA"/>
      </x:top>
      <x:bottom style="medium">
        <x:color rgb="FF73B2AA"/>
      </x:bottom>
    </x:border>
    <x:border>
      <x:left style="thin">
        <x:color rgb="FFD4DDDF"/>
      </x:left>
      <x:right style="thin">
        <x:color rgb="FFD4DDDF"/>
      </x:right>
      <x:top style="thin">
        <x:color rgb="FFD4DDDF"/>
      </x:top>
      <x:bottom style="thin">
        <x:color rgb="FFD4DDDF"/>
      </x:bottom>
    </x:border>
    <x:border>
      <x:left style="thin">
        <x:color rgb="FF8AB695"/>
      </x:left>
      <x:right style="thin">
        <x:color rgb="FF000000"/>
      </x:right>
      <x:top style="medium">
        <x:color rgb="FF8AB695"/>
      </x:top>
      <x:bottom style="medium">
        <x:color rgb="FF8AB695"/>
      </x:bottom>
    </x:border>
    <x:border>
      <x:left style="thin">
        <x:color rgb="FF000000"/>
      </x:left>
      <x:right style="thin">
        <x:color rgb="FF000000"/>
      </x:right>
      <x:top style="medium">
        <x:color rgb="FF8AB695"/>
      </x:top>
      <x:bottom style="medium">
        <x:color rgb="FF8AB695"/>
      </x:bottom>
    </x:border>
    <x:border>
      <x:left style="thin">
        <x:color rgb="FF000000"/>
      </x:left>
      <x:right style="thin">
        <x:color rgb="FF8AB695"/>
      </x:right>
      <x:top style="medium">
        <x:color rgb="FF8AB695"/>
      </x:top>
      <x:bottom style="medium">
        <x:color rgb="FF8AB695"/>
      </x:bottom>
    </x:border>
    <x:border>
      <x:left style="thin">
        <x:color rgb="FFE59A89"/>
      </x:left>
      <x:right style="thin">
        <x:color rgb="FF000000"/>
      </x:right>
      <x:top style="medium">
        <x:color rgb="FFE59A89"/>
      </x:top>
      <x:bottom style="medium">
        <x:color rgb="FFE59A89"/>
      </x:bottom>
    </x:border>
    <x:border>
      <x:left style="thin">
        <x:color rgb="FF000000"/>
      </x:left>
      <x:right style="thin">
        <x:color rgb="FF000000"/>
      </x:right>
      <x:top style="medium">
        <x:color rgb="FFE59A89"/>
      </x:top>
      <x:bottom style="medium">
        <x:color rgb="FFE59A89"/>
      </x:bottom>
    </x:border>
    <x:border>
      <x:left style="thin">
        <x:color rgb="FF000000"/>
      </x:left>
      <x:right style="thin">
        <x:color rgb="FFE59A89"/>
      </x:right>
      <x:top style="medium">
        <x:color rgb="FFE59A89"/>
      </x:top>
      <x:bottom style="medium">
        <x:color rgb="FFE59A89"/>
      </x:bottom>
    </x:border>
    <x:border>
      <x:left style="thin">
        <x:color rgb="FFE6C86D"/>
      </x:left>
      <x:right style="thin">
        <x:color rgb="FF000000"/>
      </x:right>
      <x:top style="medium">
        <x:color rgb="FFE6C86D"/>
      </x:top>
      <x:bottom style="medium">
        <x:color rgb="FFE6C86D"/>
      </x:bottom>
    </x:border>
    <x:border>
      <x:left style="thin">
        <x:color rgb="FF000000"/>
      </x:left>
      <x:right style="thin">
        <x:color rgb="FF000000"/>
      </x:right>
      <x:top style="medium">
        <x:color rgb="FFE6C86D"/>
      </x:top>
      <x:bottom style="medium">
        <x:color rgb="FFE6C86D"/>
      </x:bottom>
    </x:border>
    <x:border>
      <x:left style="thin">
        <x:color rgb="FF000000"/>
      </x:left>
      <x:right style="thin">
        <x:color rgb="FFE6C86D"/>
      </x:right>
      <x:top style="medium">
        <x:color rgb="FFE6C86D"/>
      </x:top>
      <x:bottom style="medium">
        <x:color rgb="FFE6C86D"/>
      </x:bottom>
    </x:border>
    <x:border>
      <x:left style="thin">
        <x:color rgb="FF7CAECB"/>
      </x:left>
      <x:right style="thin">
        <x:color rgb="FF000000"/>
      </x:right>
      <x:top style="medium">
        <x:color rgb="FF7CAECB"/>
      </x:top>
      <x:bottom style="medium">
        <x:color rgb="FF7CAECB"/>
      </x:bottom>
    </x:border>
    <x:border>
      <x:left style="thin">
        <x:color rgb="FF000000"/>
      </x:left>
      <x:right style="thin">
        <x:color rgb="FF000000"/>
      </x:right>
      <x:top style="medium">
        <x:color rgb="FF7CAECB"/>
      </x:top>
      <x:bottom style="medium">
        <x:color rgb="FF7CAECB"/>
      </x:bottom>
    </x:border>
    <x:border>
      <x:left style="thin">
        <x:color rgb="FF000000"/>
      </x:left>
      <x:right style="thin">
        <x:color rgb="FF7CAECB"/>
      </x:right>
      <x:top style="medium">
        <x:color rgb="FF7CAECB"/>
      </x:top>
      <x:bottom style="medium">
        <x:color rgb="FF7CAECB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200" fontId="6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3" xfId="0" applyNumberFormat="1" applyFont="1" applyFill="1" applyBorder="1" applyAlignment="1">
      <x:alignment horizontal="center" vertical="center" wrapText="1"/>
    </x:xf>
    <x:xf numFmtId="0" fontId="9" fillId="4" borderId="4" xfId="0" applyNumberFormat="1" applyFont="1" applyFill="1" applyBorder="1" applyAlignment="1">
      <x:alignment horizontal="center" vertical="center" wrapText="1"/>
    </x:xf>
    <x:xf numFmtId="0" fontId="9" fillId="4" borderId="5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1" fontId="5" fillId="6" borderId="1" xfId="0" applyNumberFormat="1" applyFont="1" applyFill="1" applyBorder="1" applyAlignment="1">
      <x:alignment horizontal="center" vertical="center" wrapText="1"/>
    </x:xf>
    <x:xf numFmtId="201" fontId="10" fillId="6" borderId="1" xfId="0" applyNumberFormat="1" applyFont="1" applyFill="1" applyBorder="1" applyAlignment="1">
      <x:alignment horizontal="center" vertical="center" wrapText="1"/>
    </x:xf>
    <x:xf numFmtId="201" fontId="10" fillId="6" borderId="6" xfId="0" applyNumberFormat="1" applyFont="1" applyFill="1" applyBorder="1" applyAlignment="1">
      <x:alignment horizontal="center" vertical="center" wrapText="1"/>
    </x:xf>
    <x:xf numFmtId="201" fontId="6" fillId="0" borderId="1" xfId="0" applyNumberFormat="1" applyFont="1" applyFill="1" applyBorder="1" applyAlignment="1">
      <x:alignment horizontal="center" vertical="center" wrapText="1"/>
    </x:xf>
    <x:xf numFmtId="201" fontId="6" fillId="5" borderId="1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201" fontId="11" fillId="5" borderId="6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9" fillId="7" borderId="9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6" xfId="0" applyNumberFormat="1" applyFont="1" applyFill="1" applyBorder="1" applyAlignment="1">
      <x:alignment horizontal="center" vertical="center" wrapText="1"/>
    </x:xf>
    <x:xf numFmtId="201" fontId="12" fillId="5" borderId="1" xfId="0" applyNumberFormat="1" applyFont="1" applyFill="1" applyBorder="1" applyAlignment="1">
      <x:alignment horizontal="center" vertical="center" wrapText="1"/>
    </x:xf>
    <x:xf numFmtId="201" fontId="12" fillId="5" borderId="6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9" fillId="9" borderId="11" xfId="0" applyNumberFormat="1" applyFont="1" applyFill="1" applyBorder="1" applyAlignment="1">
      <x:alignment horizontal="center" vertical="center" wrapText="1"/>
    </x:xf>
    <x:xf numFmtId="0" fontId="9" fillId="9" borderId="12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5" fillId="10" borderId="6" xfId="0" applyNumberFormat="1" applyFont="1" applyFill="1" applyBorder="1" applyAlignment="1">
      <x:alignment horizontal="center" vertical="center" wrapText="1"/>
    </x:xf>
    <x:xf numFmtId="201" fontId="5" fillId="5" borderId="1" xfId="0" applyNumberFormat="1" applyFont="1" applyFill="1" applyBorder="1" applyAlignment="1">
      <x:alignment horizontal="center" vertical="center" wrapText="1"/>
    </x:xf>
    <x:xf numFmtId="201" fontId="13" fillId="5" borderId="1" xfId="0" applyNumberFormat="1" applyFont="1" applyFill="1" applyBorder="1" applyAlignment="1">
      <x:alignment horizontal="center" vertical="center" wrapText="1"/>
    </x:xf>
    <x:xf numFmtId="201" fontId="13" fillId="5" borderId="6" xfId="0" applyNumberFormat="1" applyFont="1" applyFill="1" applyBorder="1" applyAlignment="1">
      <x:alignment horizontal="center" vertical="center" wrapText="1"/>
    </x:xf>
    <x:xf numFmtId="201" fontId="5" fillId="5" borderId="6" xfId="0" applyNumberFormat="1" applyFont="1" applyFill="1" applyBorder="1" applyAlignment="1">
      <x:alignment horizontal="center"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13" fillId="11" borderId="1" xfId="0" applyNumberFormat="1" applyFont="1" applyFill="1" applyBorder="1" applyAlignment="1">
      <x:alignment horizontal="center" vertical="center" wrapText="1"/>
    </x:xf>
    <x:xf numFmtId="0" fontId="13" fillId="11" borderId="13" xfId="0" applyNumberFormat="1" applyFont="1" applyFill="1" applyBorder="1" applyAlignment="1">
      <x:alignment horizontal="center" vertical="center" wrapText="1"/>
    </x:xf>
    <x:xf numFmtId="0" fontId="13" fillId="11" borderId="14" xfId="0" applyNumberFormat="1" applyFont="1" applyFill="1" applyBorder="1" applyAlignment="1">
      <x:alignment horizontal="center" vertical="center" wrapText="1"/>
    </x:xf>
    <x:xf numFmtId="0" fontId="13" fillId="11" borderId="15" xfId="0" applyNumberFormat="1" applyFont="1" applyFill="1" applyBorder="1" applyAlignment="1">
      <x:alignment horizontal="center" vertic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200" fontId="6" fillId="12" borderId="1" xfId="0" applyNumberFormat="1" applyFont="1" applyFill="1" applyBorder="1" applyAlignment="1">
      <x:alignment horizontal="center" vertical="center" wrapText="1"/>
    </x:xf>
    <x:xf numFmtId="200" fontId="5" fillId="12" borderId="1" xfId="0" applyNumberFormat="1" applyFont="1" applyFill="1" applyBorder="1" applyAlignment="1">
      <x:alignment horizontal="center" vertical="center" wrapText="1"/>
    </x:xf>
    <x:xf numFmtId="0" fontId="5" fillId="12" borderId="6" xfId="0" applyNumberFormat="1" applyFont="1" applyFill="1" applyBorder="1" applyAlignment="1">
      <x:alignment horizontal="center" vertical="center" wrapText="1"/>
    </x:xf>
    <x:xf numFmtId="200" fontId="5" fillId="12" borderId="6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0" fontId="9" fillId="13" borderId="16" xfId="0" applyNumberFormat="1" applyFont="1" applyFill="1" applyBorder="1" applyAlignment="1">
      <x:alignment horizontal="center" vertical="center" wrapText="1"/>
    </x:xf>
    <x:xf numFmtId="0" fontId="9" fillId="13" borderId="17" xfId="0" applyNumberFormat="1" applyFont="1" applyFill="1" applyBorder="1" applyAlignment="1">
      <x:alignment horizontal="center" vertical="center" wrapText="1"/>
    </x:xf>
    <x:xf numFmtId="0" fontId="9" fillId="13" borderId="18" xfId="0" applyNumberFormat="1" applyFont="1" applyFill="1" applyBorder="1" applyAlignment="1">
      <x:alignment horizontal="center" vertic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5" fillId="14" borderId="6" xfId="0" applyNumberFormat="1" applyFont="1" applyFill="1" applyBorder="1" applyAlignment="1">
      <x:alignment horizontal="center" vertical="center" wrapText="1"/>
    </x:xf>
    <x:xf numFmtId="201" fontId="5" fillId="14" borderId="1" xfId="0" applyNumberFormat="1" applyFont="1" applyFill="1" applyBorder="1" applyAlignment="1">
      <x:alignment horizontal="center" vertical="center" wrapText="1"/>
    </x:xf>
    <x:xf numFmtId="201" fontId="10" fillId="14" borderId="1" xfId="0" applyNumberFormat="1" applyFont="1" applyFill="1" applyBorder="1" applyAlignment="1">
      <x:alignment horizontal="center" vertical="center" wrapText="1"/>
    </x:xf>
    <x:xf numFmtId="201" fontId="10" fillId="14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d52fb246f4088" /><Relationship Type="http://schemas.openxmlformats.org/officeDocument/2006/relationships/theme" Target="/xl/theme/theme1.xml" Id="Rd4a4d57a7d0f46e4" /><Relationship Type="http://schemas.openxmlformats.org/officeDocument/2006/relationships/sharedStrings" Target="/xl/sharedStrings.xml" Id="R96c28f886948438d" /><Relationship Type="http://schemas.openxmlformats.org/officeDocument/2006/relationships/worksheet" Target="/xl/worksheets/sheet1.xml" Id="R27fe2ac76c8f46a7" /><Relationship Type="http://schemas.openxmlformats.org/officeDocument/2006/relationships/worksheet" Target="/xl/worksheets/sheet2.xml" Id="R0fae2b175bce46dd" /><Relationship Type="http://schemas.openxmlformats.org/officeDocument/2006/relationships/worksheet" Target="/xl/worksheets/sheet3.xml" Id="R7edbb627df7044a9" /><Relationship Type="http://schemas.openxmlformats.org/officeDocument/2006/relationships/worksheet" Target="/xl/worksheets/sheet4.xml" Id="R4ea9ba8aa215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50" customHeight="1">
      <x:c r="A1" s="33" t="str">
        <x:v>月度结算</x:v>
      </x:c>
      <x:c r="B1" s="33" t="str">
        <x:v>月度结算</x:v>
      </x:c>
      <x:c r="C1" s="33" t="str">
        <x:v>月度结算</x:v>
      </x:c>
      <x:c r="D1" s="33" t="str">
        <x:v>月度结算</x:v>
      </x:c>
      <x:c r="E1" s="33" t="str">
        <x:v>月度结算</x:v>
      </x:c>
      <x:c r="F1" s="33" t="str">
        <x:v>月度结算</x:v>
      </x:c>
      <x:c r="G1" s="33" t="str">
        <x:v>月度结算</x:v>
      </x:c>
      <x:c r="H1" s="33" t="str">
        <x:v>月度结算</x:v>
      </x:c>
    </x:row>
    <x:row r="2" ht="34" customHeight="1">
      <x:c r="A2" s="35" t="str">
        <x:v>2026年08月</x:v>
      </x:c>
      <x:c r="B2" s="35" t="str">
        <x:v>2026年08月</x:v>
      </x:c>
      <x:c r="C2" s="35" t="str">
        <x:v>2026年08月</x:v>
      </x:c>
      <x:c r="D2" s="35" t="str">
        <x:v>2026年08月</x:v>
      </x:c>
      <x:c r="E2" s="35" t="str">
        <x:v>2026年08月</x:v>
      </x:c>
      <x:c r="F2" s="35" t="str">
        <x:v>2026年08月</x:v>
      </x:c>
      <x:c r="G2" s="35" t="str">
        <x:v>2026年08月</x:v>
      </x:c>
      <x:c r="H2" s="35" t="str">
        <x:v>2026年08月</x:v>
      </x:c>
    </x:row>
    <x:row r="3" ht="18" customHeight="1">
      <x:c r="A3" s="36"/>
      <x:c r="B3" s="36"/>
      <x:c r="C3" s="36"/>
      <x:c r="D3" s="36"/>
      <x:c r="E3" s="36"/>
      <x:c r="F3" s="36"/>
      <x:c r="G3" s="36"/>
      <x:c r="H3" s="36"/>
    </x:row>
    <x:row r="4" ht="34" customHeight="1">
      <x:c r="A4" s="39" t="str">
        <x:v>上月度（7月）-结算</x:v>
      </x:c>
      <x:c r="B4" s="40" t="str">
        <x:v>上月度（7月）-结算</x:v>
      </x:c>
      <x:c r="C4" s="40" t="str">
        <x:v>上月度（7月）-结算</x:v>
      </x:c>
      <x:c r="D4" s="40" t="str">
        <x:v>上月度（7月）-结算</x:v>
      </x:c>
      <x:c r="E4" s="40" t="str">
        <x:v>上月度（7月）-结算</x:v>
      </x:c>
      <x:c r="F4" s="40" t="str">
        <x:v>上月度（7月）-结算</x:v>
      </x:c>
      <x:c r="G4" s="40" t="str">
        <x:v>上月度（7月）-结算</x:v>
      </x:c>
      <x:c r="H4" s="41" t="str">
        <x:v>上月度（7月）-结算</x:v>
      </x:c>
    </x:row>
    <x:row r="5" ht="40" customHeight="1">
      <x:c r="A5" s="43" t="str">
        <x:v>团队可支配</x:v>
      </x:c>
      <x:c r="B5" s="43"/>
      <x:c r="C5" s="47" t="n">
        <x:f>ROUND(A7+C7+G7+H7,2)</x:f>
        <x:v>0</x:v>
      </x:c>
      <x:c r="D5" s="47"/>
      <x:c r="E5" s="47"/>
      <x:c r="F5" s="47"/>
      <x:c r="G5" s="47"/>
      <x:c r="H5" s="47"/>
    </x:row>
    <x:row r="6" ht="36" customHeight="1">
      <x:c r="A6" s="43" t="str">
        <x:v>一般账户</x:v>
      </x:c>
      <x:c r="B6" s="43"/>
      <x:c r="C6" s="43" t="str">
        <x:v>商务账户</x:v>
      </x:c>
      <x:c r="D6" s="43"/>
      <x:c r="E6" s="43" t="str">
        <x:v>福利金账户</x:v>
      </x:c>
      <x:c r="F6" s="43"/>
      <x:c r="G6" s="43" t="str">
        <x:v>福利金账户一</x:v>
      </x:c>
      <x:c r="H6" s="43" t="str">
        <x:v>福利金账户二</x:v>
      </x:c>
    </x:row>
    <x:row r="7" ht="40" customHeight="1">
      <x:c r="A7" s="51" t="n">
        <x:v>0</x:v>
      </x:c>
      <x:c r="B7" s="51"/>
      <x:c r="C7" s="51" t="n">
        <x:v>0</x:v>
      </x:c>
      <x:c r="D7" s="51"/>
      <x:c r="E7" s="51" t="n">
        <x:f>ROUND(G7+H7,2)</x:f>
        <x:v>0</x:v>
      </x:c>
      <x:c r="F7" s="51"/>
      <x:c r="G7" s="51" t="n">
        <x:v>0</x:v>
      </x:c>
      <x:c r="H7" s="51" t="n">
        <x:v>0</x:v>
      </x:c>
    </x:row>
    <x:row r="8" ht="16" customHeight="1">
      <x:c r="A8" s="25"/>
      <x:c r="B8" s="25"/>
      <x:c r="C8" s="25"/>
      <x:c r="D8" s="25"/>
      <x:c r="E8" s="25"/>
      <x:c r="F8" s="25"/>
      <x:c r="G8" s="25"/>
      <x:c r="H8" s="25"/>
    </x:row>
    <x:row r="9" ht="34" customHeight="1">
      <x:c r="A9" s="54" t="str">
        <x:v>8月-收入汇总</x:v>
      </x:c>
      <x:c r="B9" s="55" t="str">
        <x:v>8月-收入汇总</x:v>
      </x:c>
      <x:c r="C9" s="55" t="str">
        <x:v>8月-收入汇总</x:v>
      </x:c>
      <x:c r="D9" s="55" t="str">
        <x:v>8月-收入汇总</x:v>
      </x:c>
      <x:c r="E9" s="55" t="str">
        <x:v>8月-收入汇总</x:v>
      </x:c>
      <x:c r="F9" s="55" t="str">
        <x:v>8月-收入汇总</x:v>
      </x:c>
      <x:c r="G9" s="55" t="str">
        <x:v>8月-收入汇总</x:v>
      </x:c>
      <x:c r="H9" s="56" t="str">
        <x:v>8月-收入汇总</x:v>
      </x:c>
    </x:row>
    <x:row r="10" ht="42" customHeight="1">
      <x:c r="A10" s="58" t="str">
        <x:v>银行实际到账（入账合同额）</x:v>
      </x:c>
      <x:c r="B10" s="58"/>
      <x:c r="C10" s="58" t="str">
        <x:v>税费11.72%</x:v>
      </x:c>
      <x:c r="D10" s="58" t="str">
        <x:v>营销5%</x:v>
      </x:c>
      <x:c r="E10" s="58" t="str">
        <x:v>商务10%</x:v>
      </x:c>
      <x:c r="F10" s="58" t="str">
        <x:v>核算基数</x:v>
      </x:c>
      <x:c r="G10" s="58" t="str">
        <x:v>一般账户利息</x:v>
      </x:c>
      <x:c r="H10" s="58" t="str">
        <x:v>商务账户利息</x:v>
      </x:c>
    </x:row>
    <x:row r="11" ht="40" customHeight="1">
      <x:c r="A11" s="60" t="n">
        <x:v>0</x:v>
      </x:c>
      <x:c r="B11" s="60"/>
      <x:c r="C11" s="60" t="n">
        <x:v>0</x:v>
      </x:c>
      <x:c r="D11" s="60" t="n">
        <x:v>0</x:v>
      </x:c>
      <x:c r="E11" s="60" t="n">
        <x:v>0</x:v>
      </x:c>
      <x:c r="F11" s="60" t="n">
        <x:v>0</x:v>
      </x:c>
      <x:c r="G11" s="60" t="n">
        <x:v>0</x:v>
      </x:c>
      <x:c r="H11" s="60" t="n">
        <x:v>0</x:v>
      </x:c>
    </x:row>
    <x:row r="12" ht="16" customHeight="1">
      <x:c r="A12" s="25"/>
      <x:c r="B12" s="25"/>
      <x:c r="C12" s="25"/>
      <x:c r="D12" s="25"/>
      <x:c r="E12" s="25"/>
      <x:c r="F12" s="25"/>
      <x:c r="G12" s="25"/>
      <x:c r="H12" s="25"/>
    </x:row>
    <x:row r="13" ht="34" customHeight="1">
      <x:c r="A13" s="63" t="str">
        <x:v>8月-支出汇总</x:v>
      </x:c>
      <x:c r="B13" s="64" t="str">
        <x:v>8月-支出汇总</x:v>
      </x:c>
      <x:c r="C13" s="64" t="str">
        <x:v>8月-支出汇总</x:v>
      </x:c>
      <x:c r="D13" s="64" t="str">
        <x:v>8月-支出汇总</x:v>
      </x:c>
      <x:c r="E13" s="64" t="str">
        <x:v>8月-支出汇总</x:v>
      </x:c>
      <x:c r="F13" s="64" t="str">
        <x:v>8月-支出汇总</x:v>
      </x:c>
      <x:c r="G13" s="64" t="str">
        <x:v>8月-支出汇总</x:v>
      </x:c>
      <x:c r="H13" s="65" t="str">
        <x:v>8月-支出汇总</x:v>
      </x:c>
    </x:row>
    <x:row r="14" ht="42" customHeight="1">
      <x:c r="A14" s="68" t="str">
        <x:v>薪资+行政</x:v>
      </x:c>
      <x:c r="B14" s="71" t="n">
        <x:f>ROUND(D15+E15+F15+A17,2)</x:f>
        <x:v>0</x:v>
      </x:c>
      <x:c r="C14" s="71"/>
      <x:c r="D14" s="68" t="str">
        <x:v>薪资支出</x:v>
      </x:c>
      <x:c r="E14" s="68" t="str">
        <x:v>其他支出</x:v>
      </x:c>
      <x:c r="F14" s="68" t="str">
        <x:v>一般账户跨行手续费</x:v>
      </x:c>
      <x:c r="G14" s="68" t="str">
        <x:v>商务账户跨行手续费</x:v>
      </x:c>
      <x:c r="H14" s="68" t="str">
        <x:v>资产类合同支出总额</x:v>
      </x:c>
    </x:row>
    <x:row r="15" ht="42" customHeight="1">
      <x:c r="A15" s="68"/>
      <x:c r="B15" s="71"/>
      <x:c r="C15" s="71"/>
      <x:c r="D15" s="72" t="n">
        <x:v>0</x:v>
      </x:c>
      <x:c r="E15" s="72" t="n">
        <x:v>0</x:v>
      </x:c>
      <x:c r="F15" s="72" t="n">
        <x:v>0</x:v>
      </x:c>
      <x:c r="G15" s="72" t="n">
        <x:v>0</x:v>
      </x:c>
      <x:c r="H15" s="72" t="n">
        <x:v>0</x:v>
      </x:c>
    </x:row>
    <x:row r="16" ht="36" customHeight="1">
      <x:c r="A16" s="68" t="str">
        <x:v>行政汇总</x:v>
      </x:c>
      <x:c r="B16" s="68" t="str">
        <x:v>人员1</x:v>
      </x:c>
      <x:c r="C16" s="68" t="str">
        <x:v>人员2</x:v>
      </x:c>
      <x:c r="D16" s="68" t="str">
        <x:v>人员3</x:v>
      </x:c>
      <x:c r="E16" s="68" t="str">
        <x:v>人员4</x:v>
      </x:c>
      <x:c r="F16" s="68" t="str">
        <x:v>人员5</x:v>
      </x:c>
      <x:c r="G16" s="68" t="str">
        <x:v>人员6</x:v>
      </x:c>
      <x:c r="H16" s="68" t="str">
        <x:v>其他人员</x:v>
      </x:c>
    </x:row>
    <x:row r="17" ht="38" customHeight="1">
      <x:c r="A17" s="51" t="n">
        <x:f>ROUND(SUM(B17:H17),2)</x:f>
        <x:v>0</x:v>
      </x:c>
      <x:c r="B17" s="60" t="n">
        <x:v>0</x:v>
      </x:c>
      <x:c r="C17" s="60" t="n">
        <x:v>0</x:v>
      </x:c>
      <x:c r="D17" s="60" t="n">
        <x:v>0</x:v>
      </x:c>
      <x:c r="E17" s="60" t="n">
        <x:v>0</x:v>
      </x:c>
      <x:c r="F17" s="60" t="n">
        <x:v>0</x:v>
      </x:c>
      <x:c r="G17" s="60" t="n">
        <x:v>0</x:v>
      </x:c>
      <x:c r="H17" s="60" t="n">
        <x:v>0</x:v>
      </x:c>
    </x:row>
    <x:row r="18" ht="36" customHeight="1">
      <x:c r="A18" s="68" t="str">
        <x:v>业务汇总</x:v>
      </x:c>
      <x:c r="B18" s="68" t="str">
        <x:v>人员1</x:v>
      </x:c>
      <x:c r="C18" s="68" t="str">
        <x:v>人员2</x:v>
      </x:c>
      <x:c r="D18" s="68" t="str">
        <x:v>人员3</x:v>
      </x:c>
      <x:c r="E18" s="68" t="str">
        <x:v>人员4</x:v>
      </x:c>
      <x:c r="F18" s="68" t="str">
        <x:v>人员5</x:v>
      </x:c>
      <x:c r="G18" s="68" t="str">
        <x:v>人员6</x:v>
      </x:c>
      <x:c r="H18" s="68" t="str">
        <x:v>其他人员</x:v>
      </x:c>
    </x:row>
    <x:row r="19" ht="38" customHeight="1">
      <x:c r="A19" s="51" t="n">
        <x:f>ROUND(SUM(B19:H19),2)</x:f>
        <x:v>0</x:v>
      </x:c>
      <x:c r="B19" s="60" t="n">
        <x:v>0</x:v>
      </x:c>
      <x:c r="C19" s="60" t="n">
        <x:v>0</x:v>
      </x:c>
      <x:c r="D19" s="60" t="n">
        <x:v>0</x:v>
      </x:c>
      <x:c r="E19" s="60" t="n">
        <x:v>0</x:v>
      </x:c>
      <x:c r="F19" s="60" t="n">
        <x:v>0</x:v>
      </x:c>
      <x:c r="G19" s="60" t="n">
        <x:v>0</x:v>
      </x:c>
      <x:c r="H19" s="60" t="n">
        <x:v>0</x:v>
      </x:c>
    </x:row>
    <x:row r="20" ht="16" customHeight="1">
      <x:c r="A20" s="25"/>
      <x:c r="B20" s="25"/>
      <x:c r="C20" s="25"/>
      <x:c r="D20" s="25"/>
      <x:c r="E20" s="25"/>
      <x:c r="F20" s="25"/>
      <x:c r="G20" s="25"/>
      <x:c r="H20" s="25"/>
    </x:row>
    <x:row r="21" ht="34" customHeight="1">
      <x:c r="A21" s="75" t="str">
        <x:v>8月-福利金支出</x:v>
      </x:c>
      <x:c r="B21" s="76" t="str">
        <x:v>8月-福利金支出</x:v>
      </x:c>
      <x:c r="C21" s="76" t="str">
        <x:v>8月-福利金支出</x:v>
      </x:c>
      <x:c r="D21" s="76" t="str">
        <x:v>8月-福利金支出</x:v>
      </x:c>
      <x:c r="E21" s="76" t="str">
        <x:v>8月-福利金支出</x:v>
      </x:c>
      <x:c r="F21" s="76" t="str">
        <x:v>8月-福利金支出</x:v>
      </x:c>
      <x:c r="G21" s="76" t="str">
        <x:v>8月-福利金支出</x:v>
      </x:c>
      <x:c r="H21" s="77" t="str">
        <x:v>8月-福利金支出</x:v>
      </x:c>
    </x:row>
    <x:row r="22" ht="38" customHeight="1">
      <x:c r="A22" s="81" t="str">
        <x:v>福利金汇总</x:v>
      </x:c>
      <x:c r="B22" s="81" t="str">
        <x:v>账户一</x:v>
      </x:c>
      <x:c r="C22" s="81" t="str">
        <x:v>饮用水</x:v>
      </x:c>
      <x:c r="D22" s="81" t="str">
        <x:v>办公</x:v>
      </x:c>
      <x:c r="E22" s="81" t="str">
        <x:v>电费</x:v>
      </x:c>
      <x:c r="F22" s="81" t="str">
        <x:v>407-AI</x:v>
      </x:c>
      <x:c r="G22" s="81" t="str">
        <x:v>8H-AI</x:v>
      </x:c>
      <x:c r="H22" s="81" t="str"/>
    </x:row>
    <x:row r="23" ht="38" customHeight="1">
      <x:c r="A23" s="82"/>
      <x:c r="B23" s="51" t="n">
        <x:f>ROUND(SUM(C23:G23),2)</x:f>
        <x:v>0</x:v>
      </x:c>
      <x:c r="C23" s="60" t="n">
        <x:v>0</x:v>
      </x:c>
      <x:c r="D23" s="60" t="n">
        <x:v>0</x:v>
      </x:c>
      <x:c r="E23" s="60" t="n">
        <x:v>0</x:v>
      </x:c>
      <x:c r="F23" s="60" t="n">
        <x:v>0</x:v>
      </x:c>
      <x:c r="G23" s="60" t="n">
        <x:v>0</x:v>
      </x:c>
      <x:c r="H23" s="60" t="n">
        <x:v>0</x:v>
      </x:c>
    </x:row>
    <x:row r="24" ht="38" customHeight="1">
      <x:c r="A24" s="71" t="n">
        <x:f>ROUND(B23+B25,2)</x:f>
        <x:v>0</x:v>
      </x:c>
      <x:c r="B24" s="82" t="str">
        <x:v>账户二</x:v>
      </x:c>
      <x:c r="C24" s="82" t="str">
        <x:v>茶歇</x:v>
      </x:c>
      <x:c r="D24" s="82" t="str">
        <x:v>团建</x:v>
      </x:c>
      <x:c r="E24" s="82" t="str">
        <x:v>体检</x:v>
      </x:c>
      <x:c r="F24" s="82" t="str"/>
      <x:c r="G24" s="81" t="str"/>
      <x:c r="H24" s="81" t="str"/>
    </x:row>
    <x:row r="25" ht="38" customHeight="1">
      <x:c r="A25" s="71"/>
      <x:c r="B25" s="51" t="n">
        <x:f>ROUND(SUM(C25:E25),2)</x:f>
        <x:v>0</x:v>
      </x:c>
      <x:c r="C25" s="60" t="n">
        <x:v>0</x:v>
      </x:c>
      <x:c r="D25" s="60" t="n">
        <x:v>0</x:v>
      </x:c>
      <x:c r="E25" s="60" t="n">
        <x:v>0</x:v>
      </x:c>
      <x:c r="F25" s="60" t="str"/>
      <x:c r="G25" s="60" t="str"/>
      <x:c r="H25" s="60" t="str"/>
    </x:row>
    <x:row r="26" ht="16" customHeight="1">
      <x:c r="A26" s="25"/>
      <x:c r="B26" s="25"/>
      <x:c r="C26" s="25"/>
      <x:c r="D26" s="25"/>
      <x:c r="E26" s="25"/>
      <x:c r="F26" s="25"/>
      <x:c r="G26" s="25"/>
      <x:c r="H26" s="25"/>
    </x:row>
    <x:row r="27" ht="34" customHeight="1">
      <x:c r="A27" s="85" t="str">
        <x:v>8月-结算</x:v>
      </x:c>
      <x:c r="B27" s="86" t="str">
        <x:v>8月-结算</x:v>
      </x:c>
      <x:c r="C27" s="86" t="str">
        <x:v>8月-结算</x:v>
      </x:c>
      <x:c r="D27" s="86" t="str">
        <x:v>8月-结算</x:v>
      </x:c>
      <x:c r="E27" s="86" t="str">
        <x:v>8月-结算</x:v>
      </x:c>
      <x:c r="F27" s="86" t="str">
        <x:v>8月-结算</x:v>
      </x:c>
      <x:c r="G27" s="86" t="str">
        <x:v>8月-结算</x:v>
      </x:c>
      <x:c r="H27" s="87" t="str">
        <x:v>8月-结算</x:v>
      </x:c>
    </x:row>
    <x:row r="28" ht="42" customHeight="1">
      <x:c r="A28" s="89" t="str">
        <x:v>团队可支配</x:v>
      </x:c>
      <x:c r="B28" s="89"/>
      <x:c r="C28" s="92" t="n">
        <x:f>ROUND(B29+D29+F29,2)</x:f>
        <x:v>0</x:v>
      </x:c>
      <x:c r="D28" s="92"/>
      <x:c r="E28" s="92"/>
      <x:c r="F28" s="92"/>
      <x:c r="G28" s="92"/>
      <x:c r="H28" s="92"/>
    </x:row>
    <x:row r="29" ht="42" customHeight="1">
      <x:c r="A29" s="89" t="str">
        <x:v>一般-总额</x:v>
      </x:c>
      <x:c r="B29" s="51" t="n">
        <x:v>0</x:v>
      </x:c>
      <x:c r="C29" s="89" t="str">
        <x:v>商务-总额</x:v>
      </x:c>
      <x:c r="D29" s="51" t="n">
        <x:v>0</x:v>
      </x:c>
      <x:c r="E29" s="89" t="str">
        <x:v>福利金-商务-总额</x:v>
      </x:c>
      <x:c r="F29" s="51" t="n">
        <x:v>0</x:v>
      </x:c>
      <x:c r="G29" s="89" t="str">
        <x:v>账户一-总额</x:v>
      </x:c>
      <x:c r="H29" s="51" t="n">
        <x:v>0</x:v>
      </x:c>
    </x:row>
    <x:row r="30" ht="42" customHeight="1">
      <x:c r="A30" s="89" t="str"/>
      <x:c r="B30" s="51" t="str"/>
      <x:c r="C30" s="89" t="str"/>
      <x:c r="D30" s="51" t="str"/>
      <x:c r="E30" s="89" t="str"/>
      <x:c r="F30" s="51" t="str"/>
      <x:c r="G30" s="89" t="str">
        <x:v>账户二-总额</x:v>
      </x:c>
      <x:c r="H30" s="51" t="n">
        <x:v>0</x:v>
      </x:c>
    </x:row>
    <x:row r="31" ht="24" customHeight="1">
      <x:c r="A31"/>
      <x:c r="B31"/>
      <x:c r="C31"/>
      <x:c r="D31"/>
      <x:c r="E31"/>
      <x:c r="F31"/>
      <x:c r="G31"/>
      <x:c r="H31"/>
    </x:row>
    <x:row r="32" ht="24" customHeight="1">
      <x:c r="A32"/>
      <x:c r="B32"/>
      <x:c r="C32"/>
      <x:c r="D32"/>
      <x:c r="E32"/>
      <x:c r="F32"/>
      <x:c r="G32"/>
      <x:c r="H32"/>
    </x:row>
  </x:sheetData>
  <x:mergeCells>
    <x:mergeCell ref="A1:H1"/>
    <x:mergeCell ref="A2:H2"/>
    <x:mergeCell ref="A4:H4"/>
    <x:mergeCell ref="A9:H9"/>
    <x:mergeCell ref="A13:H13"/>
    <x:mergeCell ref="A21:H21"/>
    <x:mergeCell ref="A27:H27"/>
    <x:mergeCell ref="A5:B5"/>
    <x:mergeCell ref="C5:H5"/>
    <x:mergeCell ref="A6:B6"/>
    <x:mergeCell ref="C6:D6"/>
    <x:mergeCell ref="E6:F6"/>
    <x:mergeCell ref="A7:B7"/>
    <x:mergeCell ref="C7:D7"/>
    <x:mergeCell ref="E7:F7"/>
    <x:mergeCell ref="A10:B10"/>
    <x:mergeCell ref="A11:B11"/>
    <x:mergeCell ref="A14:A15"/>
    <x:mergeCell ref="A28:B28"/>
    <x:mergeCell ref="C28:H28"/>
    <x:mergeCell ref="B14:C15"/>
    <x:mergeCell ref="A29:A30"/>
    <x:mergeCell ref="B29:B30"/>
    <x:mergeCell ref="C29:C30"/>
    <x:mergeCell ref="D29:D30"/>
    <x:mergeCell ref="E29:E30"/>
    <x:mergeCell ref="F29:F30"/>
    <x:mergeCell ref="A22:A23"/>
    <x:mergeCell ref="A24:A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2" hidden="0" customWidth="1"/>
    <x:col min="5" max="5" width="16" hidden="0" customWidth="1"/>
    <x:col min="6" max="6" width="36" hidden="0" customWidth="1"/>
    <x:col min="7" max="7" width="24" hidden="0" customWidth="1"/>
  </x:cols>
  <x:sheetData>
    <x:row r="1" ht="28" customHeight="1">
      <x:c r="A1" s="20" t="str">
        <x:v>日期</x:v>
      </x:c>
      <x:c r="B1" s="20" t="str">
        <x:v>分类</x:v>
      </x:c>
      <x:c r="C1" s="20" t="str">
        <x:v>账户</x:v>
      </x:c>
      <x:c r="D1" s="20" t="str">
        <x:v>方向</x:v>
      </x:c>
      <x:c r="E1" s="20" t="str">
        <x:v>金额</x:v>
      </x:c>
      <x:c r="F1" s="20" t="str">
        <x:v>说明</x:v>
      </x:c>
      <x:c r="G1" s="20" t="str">
        <x:v>凭证引用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4" hidden="0" customWidth="1"/>
    <x:col min="5" max="5" width="20" hidden="0" customWidth="1"/>
    <x:col min="6" max="6" width="16" hidden="0" customWidth="1"/>
    <x:col min="7" max="7" width="20" hidden="0" customWidth="1"/>
    <x:col min="8" max="8" width="16" hidden="0" customWidth="1"/>
    <x:col min="9" max="9" width="42" hidden="0" customWidth="1"/>
  </x:cols>
  <x:sheetData>
    <x:row r="1" ht="28" customHeight="1">
      <x:c r="A1" s="20" t="str">
        <x:v>来源类型</x:v>
      </x:c>
      <x:c r="B1" s="20" t="str">
        <x:v>来源编号</x:v>
      </x:c>
      <x:c r="C1" s="20" t="str">
        <x:v>日期</x:v>
      </x:c>
      <x:c r="D1" s="20" t="str">
        <x:v>账户</x:v>
      </x:c>
      <x:c r="E1" s="20" t="str">
        <x:v>指标</x:v>
      </x:c>
      <x:c r="F1" s="20" t="str">
        <x:v>金额</x:v>
      </x:c>
      <x:c r="G1" s="20" t="str">
        <x:v>人员编号</x:v>
      </x:c>
      <x:c r="H1" s="20" t="str">
        <x:v>人员</x:v>
      </x:c>
      <x:c r="I1" s="20" t="str">
        <x:v>说明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60" hidden="0" customWidth="1"/>
  </x:cols>
  <x:sheetData>
    <x:row r="1" ht="28" customHeight="1">
      <x:c r="A1" s="20" t="str">
        <x:v>级别</x:v>
      </x:c>
      <x:c r="B1" s="20" t="str">
        <x:v>编码</x:v>
      </x:c>
      <x:c r="C1" s="20" t="str">
        <x:v>说明</x:v>
      </x:c>
    </x:row>
  </x:sheetData>
  <x:pageMargins left="0.7" right="0.7" top="0.75" bottom="0.75" header="0.3" footer="0.3"/>
</x:worksheet>
</file>